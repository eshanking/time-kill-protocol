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<sst xmlns="http://schemas.openxmlformats.org/spreadsheetml/2006/main" count="45" uniqueCount="37">
  <si>
    <t xml:space="preserve">Low-density RFU30–CFU calibration arm</t>
  </si>
  <si>
    <t xml:space="preserve">Expected CFU/mL of E. coli O/N culture</t>
  </si>
  <si>
    <t xml:space="preserve">E. coli low-density plating plan</t>
  </si>
  <si>
    <t xml:space="preserve">Tube</t>
  </si>
  <si>
    <t xml:space="preserve">Plate col</t>
  </si>
  <si>
    <t xml:space="preserve">Overall dilution from O/N</t>
  </si>
  <si>
    <t xml:space="preserve">Expected CFU/mL</t>
  </si>
  <si>
    <t xml:space="preserve">CFU plating dilution (fold)</t>
  </si>
  <si>
    <t xml:space="preserve">Volume plated (mL)</t>
  </si>
  <si>
    <t xml:space="preserve">Expected colonies / plate</t>
  </si>
  <si>
    <t xml:space="preserve">Note</t>
  </si>
  <si>
    <t xml:space="preserve">E1</t>
  </si>
  <si>
    <t xml:space="preserve">10 µL overnight + 990 µL LB</t>
  </si>
  <si>
    <t xml:space="preserve">E2</t>
  </si>
  <si>
    <t xml:space="preserve">100 µL E1 + 900 µL LB</t>
  </si>
  <si>
    <t xml:space="preserve">E3</t>
  </si>
  <si>
    <t xml:space="preserve">100 µL E2 + 900 µL LB</t>
  </si>
  <si>
    <t xml:space="preserve">E4</t>
  </si>
  <si>
    <t xml:space="preserve">100 µL E3 + 900 µL LB</t>
  </si>
  <si>
    <t xml:space="preserve">E5</t>
  </si>
  <si>
    <t xml:space="preserve">100 µL E4 + 900 µL LB; plate undiluted</t>
  </si>
  <si>
    <t xml:space="preserve">E6</t>
  </si>
  <si>
    <t xml:space="preserve">100 µL E5 + 900 µL LB; plate undiluted; exploratory lowest point</t>
  </si>
  <si>
    <t xml:space="preserve">Expected CFU/mL of S. aureus O/N culture</t>
  </si>
  <si>
    <t xml:space="preserve">S. aureus low-density plating plan</t>
  </si>
  <si>
    <t xml:space="preserve">S1</t>
  </si>
  <si>
    <t xml:space="preserve">100 µL overnight + 900 µL LB</t>
  </si>
  <si>
    <t xml:space="preserve">S2</t>
  </si>
  <si>
    <t xml:space="preserve">100 µL S1 + 900 µL LB</t>
  </si>
  <si>
    <t xml:space="preserve">S3</t>
  </si>
  <si>
    <t xml:space="preserve">100 µL S2 + 900 µL LB</t>
  </si>
  <si>
    <t xml:space="preserve">S4</t>
  </si>
  <si>
    <t xml:space="preserve">100 µL S3 + 900 µL LB</t>
  </si>
  <si>
    <t xml:space="preserve">S5</t>
  </si>
  <si>
    <t xml:space="preserve">100 µL S4 + 900 µL LB; plate undiluted</t>
  </si>
  <si>
    <t xml:space="preserve">S6</t>
  </si>
  <si>
    <t xml:space="preserve">100 µL S5 + 900 µL LB; plate undiluted; exploratory lowest point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</si>
</sst>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E+00"/>
    <numFmt numFmtId="166" formatCode="0"/>
    <numFmt numFmtId="167" formatCode="0.0"/>
    <numFmt numFmtId="168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2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D9EAD3"/>
      </patternFill>
    </fill>
    <fill>
      <patternFill patternType="solid">
        <fgColor rgb="FFD9EAD3"/>
        <bgColor rgb="FFE2F0D9"/>
      </patternFill>
    </fill>
    <fill>
      <patternFill patternType="solid">
        <fgColor rgb="FFE2F0D9"/>
        <bgColor rgb="FFD9EAD3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7.17"/>
    <col collapsed="false" customWidth="true" hidden="false" outlineLevel="0" max="5" min="5" style="0" width="24.92"/>
    <col collapsed="false" customWidth="true" hidden="false" outlineLevel="0" max="6" min="6" style="0" width="18"/>
    <col collapsed="false" customWidth="true" hidden="false" outlineLevel="0" max="7" min="7" style="0" width="25.12"/>
    <col collapsed="false" customWidth="true" hidden="false" outlineLevel="0" max="8" min="8" style="0" width="51.92"/>
    <col collapsed="false" customWidth="true" hidden="false" outlineLevel="0" max="16384" min="16379" style="0" width="11.5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/>
      <c r="B3" s="2"/>
      <c r="C3" s="3" t="s">
        <v>1</v>
      </c>
      <c r="D3" s="3"/>
      <c r="E3" s="4" t="n">
        <v>1200000000</v>
      </c>
      <c r="F3" s="2"/>
      <c r="G3" s="2"/>
      <c r="H3" s="2"/>
      <c r="I3" s="5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5"/>
    </row>
    <row r="5" customFormat="false" ht="1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  <c r="I5" s="5"/>
    </row>
    <row r="6" customFormat="false" ht="24.05" hidden="false" customHeight="false" outlineLevel="0" collapsed="false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5"/>
    </row>
    <row r="7" customFormat="false" ht="15" hidden="false" customHeight="true" outlineLevel="0" collapsed="false">
      <c r="A7" s="8" t="s">
        <v>11</v>
      </c>
      <c r="B7" s="9" t="n">
        <v>2</v>
      </c>
      <c r="C7" s="8" t="n">
        <v>100</v>
      </c>
      <c r="D7" s="10" t="n">
        <f aca="false">$E$3/C7</f>
        <v>12000000</v>
      </c>
      <c r="E7" s="11" t="n">
        <v>10000</v>
      </c>
      <c r="F7" s="12" t="n">
        <v>0.1</v>
      </c>
      <c r="G7" s="11" t="n">
        <f aca="false">D7/E7*F7</f>
        <v>120</v>
      </c>
      <c r="H7" s="8" t="s">
        <v>12</v>
      </c>
      <c r="I7" s="5"/>
    </row>
    <row r="8" customFormat="false" ht="15" hidden="false" customHeight="true" outlineLevel="0" collapsed="false">
      <c r="A8" s="8" t="s">
        <v>13</v>
      </c>
      <c r="B8" s="9" t="n">
        <v>3</v>
      </c>
      <c r="C8" s="8" t="n">
        <v>1000</v>
      </c>
      <c r="D8" s="10" t="n">
        <f aca="false">$E$3/C8</f>
        <v>1200000</v>
      </c>
      <c r="E8" s="11" t="n">
        <v>1000</v>
      </c>
      <c r="F8" s="12" t="n">
        <v>0.1</v>
      </c>
      <c r="G8" s="11" t="n">
        <f aca="false">D8/E8*F8</f>
        <v>120</v>
      </c>
      <c r="H8" s="8" t="s">
        <v>14</v>
      </c>
      <c r="I8" s="5"/>
    </row>
    <row r="9" customFormat="false" ht="15" hidden="false" customHeight="true" outlineLevel="0" collapsed="false">
      <c r="A9" s="8" t="s">
        <v>15</v>
      </c>
      <c r="B9" s="9" t="n">
        <v>4</v>
      </c>
      <c r="C9" s="8" t="n">
        <v>10000</v>
      </c>
      <c r="D9" s="10" t="n">
        <f aca="false">$E$3/C9</f>
        <v>120000</v>
      </c>
      <c r="E9" s="11" t="n">
        <v>100</v>
      </c>
      <c r="F9" s="12" t="n">
        <v>0.1</v>
      </c>
      <c r="G9" s="11" t="n">
        <f aca="false">D9/E9*F9</f>
        <v>120</v>
      </c>
      <c r="H9" s="8" t="s">
        <v>16</v>
      </c>
      <c r="I9" s="5"/>
    </row>
    <row r="10" customFormat="false" ht="15" hidden="false" customHeight="true" outlineLevel="0" collapsed="false">
      <c r="A10" s="8" t="s">
        <v>17</v>
      </c>
      <c r="B10" s="9" t="n">
        <v>5</v>
      </c>
      <c r="C10" s="8" t="n">
        <v>100000</v>
      </c>
      <c r="D10" s="10" t="n">
        <f aca="false">$E$3/C10</f>
        <v>12000</v>
      </c>
      <c r="E10" s="11" t="n">
        <v>10</v>
      </c>
      <c r="F10" s="12" t="n">
        <v>0.1</v>
      </c>
      <c r="G10" s="11" t="n">
        <f aca="false">D10/E10*F10</f>
        <v>120</v>
      </c>
      <c r="H10" s="8" t="s">
        <v>18</v>
      </c>
      <c r="I10" s="5"/>
    </row>
    <row r="11" customFormat="false" ht="15" hidden="false" customHeight="true" outlineLevel="0" collapsed="false">
      <c r="A11" s="8" t="s">
        <v>19</v>
      </c>
      <c r="B11" s="9" t="n">
        <v>6</v>
      </c>
      <c r="C11" s="8" t="n">
        <v>1000000</v>
      </c>
      <c r="D11" s="10" t="n">
        <f aca="false">$E$3/C11</f>
        <v>1200</v>
      </c>
      <c r="E11" s="11" t="n">
        <v>1</v>
      </c>
      <c r="F11" s="12" t="n">
        <v>0.1</v>
      </c>
      <c r="G11" s="11" t="n">
        <f aca="false">D11/E11*F11</f>
        <v>120</v>
      </c>
      <c r="H11" s="8" t="s">
        <v>20</v>
      </c>
      <c r="I11" s="5"/>
    </row>
    <row r="12" customFormat="false" ht="24" hidden="false" customHeight="true" outlineLevel="0" collapsed="false">
      <c r="A12" s="8" t="s">
        <v>21</v>
      </c>
      <c r="B12" s="9" t="n">
        <v>7</v>
      </c>
      <c r="C12" s="8" t="n">
        <v>10000000</v>
      </c>
      <c r="D12" s="10" t="n">
        <f aca="false">$E$3/C12</f>
        <v>120</v>
      </c>
      <c r="E12" s="11" t="n">
        <v>1</v>
      </c>
      <c r="F12" s="12" t="n">
        <v>0.2</v>
      </c>
      <c r="G12" s="11" t="n">
        <f aca="false">D12/E12*F12</f>
        <v>24</v>
      </c>
      <c r="H12" s="8" t="s">
        <v>22</v>
      </c>
      <c r="I12" s="5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5"/>
    </row>
    <row r="14" customFormat="false" ht="15" hidden="false" customHeight="false" outlineLevel="0" collapsed="false">
      <c r="A14" s="2"/>
      <c r="B14" s="2"/>
      <c r="C14" s="3" t="s">
        <v>23</v>
      </c>
      <c r="D14" s="3"/>
      <c r="E14" s="13" t="n">
        <v>116000000</v>
      </c>
      <c r="F14" s="2"/>
      <c r="G14" s="2"/>
      <c r="H14" s="2"/>
      <c r="I14" s="5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5"/>
    </row>
    <row r="16" customFormat="false" ht="15" hidden="false" customHeight="false" outlineLevel="0" collapsed="false">
      <c r="A16" s="14" t="s">
        <v>24</v>
      </c>
      <c r="B16" s="14"/>
      <c r="C16" s="14"/>
      <c r="D16" s="14"/>
      <c r="E16" s="14"/>
      <c r="F16" s="14"/>
      <c r="G16" s="14"/>
      <c r="H16" s="14"/>
      <c r="I16" s="5"/>
    </row>
    <row r="17" customFormat="false" ht="24" hidden="false" customHeight="true" outlineLevel="0" collapsed="false">
      <c r="A17" s="15" t="s">
        <v>3</v>
      </c>
      <c r="B17" s="15" t="s">
        <v>4</v>
      </c>
      <c r="C17" s="15" t="s">
        <v>5</v>
      </c>
      <c r="D17" s="15" t="s">
        <v>6</v>
      </c>
      <c r="E17" s="15" t="s">
        <v>7</v>
      </c>
      <c r="F17" s="15" t="s">
        <v>8</v>
      </c>
      <c r="G17" s="15" t="s">
        <v>9</v>
      </c>
      <c r="H17" s="15" t="s">
        <v>10</v>
      </c>
      <c r="I17" s="5"/>
    </row>
    <row r="18" customFormat="false" ht="15" hidden="false" customHeight="true" outlineLevel="0" collapsed="false">
      <c r="A18" s="8" t="s">
        <v>25</v>
      </c>
      <c r="B18" s="9" t="n">
        <v>2</v>
      </c>
      <c r="C18" s="8" t="n">
        <v>10</v>
      </c>
      <c r="D18" s="10" t="n">
        <f aca="false">$E$14/C18</f>
        <v>11600000</v>
      </c>
      <c r="E18" s="11" t="n">
        <v>10000</v>
      </c>
      <c r="F18" s="16" t="n">
        <v>0.1</v>
      </c>
      <c r="G18" s="11" t="n">
        <f aca="false">D18/E18*F18</f>
        <v>116</v>
      </c>
      <c r="H18" s="8" t="s">
        <v>26</v>
      </c>
      <c r="I18" s="5"/>
    </row>
    <row r="19" customFormat="false" ht="15" hidden="false" customHeight="true" outlineLevel="0" collapsed="false">
      <c r="A19" s="8" t="s">
        <v>27</v>
      </c>
      <c r="B19" s="9" t="n">
        <v>3</v>
      </c>
      <c r="C19" s="8" t="n">
        <v>100</v>
      </c>
      <c r="D19" s="10" t="n">
        <f aca="false">$E$14/C19</f>
        <v>1160000</v>
      </c>
      <c r="E19" s="11" t="n">
        <v>1000</v>
      </c>
      <c r="F19" s="16" t="n">
        <v>0.1</v>
      </c>
      <c r="G19" s="11" t="n">
        <f aca="false">D19/E19*F19</f>
        <v>116</v>
      </c>
      <c r="H19" s="8" t="s">
        <v>28</v>
      </c>
      <c r="I19" s="5"/>
    </row>
    <row r="20" customFormat="false" ht="15" hidden="false" customHeight="true" outlineLevel="0" collapsed="false">
      <c r="A20" s="8" t="s">
        <v>29</v>
      </c>
      <c r="B20" s="9" t="n">
        <v>4</v>
      </c>
      <c r="C20" s="8" t="n">
        <v>1000</v>
      </c>
      <c r="D20" s="10" t="n">
        <f aca="false">$E$14/C20</f>
        <v>116000</v>
      </c>
      <c r="E20" s="11" t="n">
        <v>100</v>
      </c>
      <c r="F20" s="16" t="n">
        <v>0.1</v>
      </c>
      <c r="G20" s="11" t="n">
        <f aca="false">D20/E20*F20</f>
        <v>116</v>
      </c>
      <c r="H20" s="8" t="s">
        <v>30</v>
      </c>
      <c r="I20" s="5"/>
    </row>
    <row r="21" customFormat="false" ht="15" hidden="false" customHeight="true" outlineLevel="0" collapsed="false">
      <c r="A21" s="8" t="s">
        <v>31</v>
      </c>
      <c r="B21" s="9" t="n">
        <v>5</v>
      </c>
      <c r="C21" s="8" t="n">
        <v>10000</v>
      </c>
      <c r="D21" s="10" t="n">
        <f aca="false">$E$14/C21</f>
        <v>11600</v>
      </c>
      <c r="E21" s="11" t="n">
        <v>10</v>
      </c>
      <c r="F21" s="16" t="n">
        <v>0.1</v>
      </c>
      <c r="G21" s="11" t="n">
        <f aca="false">D21/E21*F21</f>
        <v>116</v>
      </c>
      <c r="H21" s="8" t="s">
        <v>32</v>
      </c>
      <c r="I21" s="5"/>
    </row>
    <row r="22" customFormat="false" ht="15" hidden="false" customHeight="true" outlineLevel="0" collapsed="false">
      <c r="A22" s="8" t="s">
        <v>33</v>
      </c>
      <c r="B22" s="9" t="n">
        <v>6</v>
      </c>
      <c r="C22" s="8" t="n">
        <v>100000</v>
      </c>
      <c r="D22" s="10" t="n">
        <f aca="false">$E$14/C22</f>
        <v>1160</v>
      </c>
      <c r="E22" s="11" t="n">
        <v>1</v>
      </c>
      <c r="F22" s="16" t="n">
        <v>0.1</v>
      </c>
      <c r="G22" s="11" t="n">
        <f aca="false">D22/E22*F22</f>
        <v>116</v>
      </c>
      <c r="H22" s="8" t="s">
        <v>34</v>
      </c>
      <c r="I22" s="5"/>
    </row>
    <row r="23" customFormat="false" ht="24" hidden="false" customHeight="true" outlineLevel="0" collapsed="false">
      <c r="A23" s="8" t="s">
        <v>35</v>
      </c>
      <c r="B23" s="9" t="n">
        <v>7</v>
      </c>
      <c r="C23" s="8" t="n">
        <v>1000000</v>
      </c>
      <c r="D23" s="10" t="n">
        <f aca="false">$E$14/C23</f>
        <v>116</v>
      </c>
      <c r="E23" s="11" t="n">
        <v>1</v>
      </c>
      <c r="F23" s="16" t="n">
        <v>0.2</v>
      </c>
      <c r="G23" s="11" t="n">
        <f aca="false">D23/E23*F23</f>
        <v>23.2</v>
      </c>
      <c r="H23" s="8" t="s">
        <v>36</v>
      </c>
      <c r="I23" s="5"/>
    </row>
  </sheetData>
  <mergeCells count="5">
    <mergeCell ref="A1:H1"/>
    <mergeCell ref="C3:D3"/>
    <mergeCell ref="A5:H5"/>
    <mergeCell ref="C14:D14"/>
    <mergeCell ref="A16:H16"/>
  </mergeCells>
  <conditionalFormatting sqref="G7:G12">
    <cfRule type="cellIs" priority="2" operator="lessThan" aboveAverage="0" equalAverage="0" bottom="0" percent="0" rank="0" text="" dxfId="0">
      <formula>30</formula>
    </cfRule>
    <cfRule type="cellIs" priority="3" operator="greaterThan" aboveAverage="0" equalAverage="0" bottom="0" percent="0" rank="0" text="" dxfId="1">
      <formula>300</formula>
    </cfRule>
  </conditionalFormatting>
  <conditionalFormatting sqref="G18:G23">
    <cfRule type="cellIs" priority="4" operator="lessThan" aboveAverage="0" equalAverage="0" bottom="0" percent="0" rank="0" text="" dxfId="2">
      <formula>30</formula>
    </cfRule>
    <cfRule type="cellIs" priority="5" operator="greaterThan" aboveAverage="0" equalAverage="0" bottom="0" percent="0" rank="0" text="" dxfId="3">
      <formula>300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LibreOffice_project/61ce4735733fc982d62cda794bbbc193ac1508e5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2026-08-28T12:47:59Z</dcterms:modified>
  <cp:revision>1</cp:revision>
  <dc:subject/>
  <dc:title/>
</cp:coreProperties>
</file>